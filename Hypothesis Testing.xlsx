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PIT\Downloads\"/>
    </mc:Choice>
  </mc:AlternateContent>
  <xr:revisionPtr revIDLastSave="0" documentId="13_ncr:1_{FEE1710A-AE70-47EB-BE9D-2F929AC01F4C}" xr6:coauthVersionLast="47" xr6:coauthVersionMax="47" xr10:uidLastSave="{00000000-0000-0000-0000-000000000000}"/>
  <bookViews>
    <workbookView xWindow="11424" yWindow="0" windowWidth="11712" windowHeight="12336" firstSheet="5" activeTab="7" xr2:uid="{4BBB9CD2-EA90-4255-B971-CD1806214CA9}"/>
  </bookViews>
  <sheets>
    <sheet name="Data" sheetId="4" r:id="rId1"/>
    <sheet name="result T-test" sheetId="10" r:id="rId2"/>
    <sheet name="T-Test" sheetId="7" r:id="rId3"/>
    <sheet name="result Paired t-test" sheetId="11" r:id="rId4"/>
    <sheet name="Paired T-Test" sheetId="8" r:id="rId5"/>
    <sheet name="result anova" sheetId="12" r:id="rId6"/>
    <sheet name="Anova" sheetId="6" r:id="rId7"/>
    <sheet name="Chi Square" sheetId="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3" l="1"/>
  <c r="I35" i="3"/>
  <c r="H35" i="3"/>
  <c r="F38" i="3"/>
  <c r="G35" i="3"/>
  <c r="J34" i="3"/>
  <c r="I34" i="3"/>
  <c r="H34" i="3"/>
  <c r="G34" i="3"/>
  <c r="F28" i="3" l="1"/>
  <c r="J24" i="3"/>
  <c r="I24" i="3"/>
  <c r="H24" i="3"/>
  <c r="J23" i="3"/>
  <c r="G24" i="3"/>
  <c r="I23" i="3"/>
  <c r="H23" i="3"/>
  <c r="G23" i="3"/>
  <c r="G12" i="7" l="1"/>
  <c r="F12" i="7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</calcChain>
</file>

<file path=xl/sharedStrings.xml><?xml version="1.0" encoding="utf-8"?>
<sst xmlns="http://schemas.openxmlformats.org/spreadsheetml/2006/main" count="251" uniqueCount="76">
  <si>
    <t>S.No</t>
  </si>
  <si>
    <t>Experience</t>
  </si>
  <si>
    <t>Gender</t>
  </si>
  <si>
    <t>Role</t>
  </si>
  <si>
    <t>Salary</t>
  </si>
  <si>
    <t>Female</t>
  </si>
  <si>
    <t>Sr.Executive</t>
  </si>
  <si>
    <t>Male</t>
  </si>
  <si>
    <t>Manager</t>
  </si>
  <si>
    <t>Executive</t>
  </si>
  <si>
    <t>Sr.Manager</t>
  </si>
  <si>
    <t>Expected Frequency = (row total*column total)/grand total</t>
  </si>
  <si>
    <t>Chi-Square is to find the association between two categorical variables.</t>
  </si>
  <si>
    <t>P-value</t>
  </si>
  <si>
    <t>chitest()</t>
  </si>
  <si>
    <t>One Way Anova is used to determine if there is a significant difference among the groups</t>
  </si>
  <si>
    <t>H0: There is no significant difference among the groups</t>
  </si>
  <si>
    <t>level of significance: 0.05</t>
  </si>
  <si>
    <t>Blood Pressure</t>
  </si>
  <si>
    <t>Before</t>
  </si>
  <si>
    <t>After</t>
  </si>
  <si>
    <t>H0: There is no significant difference between two groups</t>
  </si>
  <si>
    <t>observed frequency</t>
  </si>
  <si>
    <t>if p.value&gt;alpha value - accept the H0</t>
  </si>
  <si>
    <t>if p.value&lt;alpha value - reject H0</t>
  </si>
  <si>
    <t xml:space="preserve"> </t>
  </si>
  <si>
    <t>Alpha</t>
  </si>
  <si>
    <t>p-value</t>
  </si>
  <si>
    <t>H0: There is no association between two categorical features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</si>
  <si>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</si>
  <si>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</si>
  <si>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</si>
  <si>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</si>
  <si>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</si>
  <si>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</si>
  <si>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</si>
  <si>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</si>
  <si>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</si>
  <si>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</si>
  <si>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Two Sample for Means</t>
  </si>
  <si>
    <t>Pearson Correlation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</si>
  <si>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</si>
  <si>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</si>
  <si>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</si>
  <si>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</si>
  <si>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</si>
  <si>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</si>
  <si>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</si>
  <si>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</si>
  <si>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</si>
  <si>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</si>
  <si>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</si>
  <si>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F crit</t>
  </si>
  <si>
    <t>Between Groups</t>
  </si>
  <si>
    <t>Within Groups</t>
  </si>
  <si>
    <t>Total</t>
  </si>
  <si>
    <t>Observed Frequency</t>
  </si>
  <si>
    <t>Expected Frequency</t>
  </si>
  <si>
    <t>CHITEST()</t>
  </si>
  <si>
    <t>P.Value</t>
  </si>
  <si>
    <t xml:space="preserve">  </t>
  </si>
  <si>
    <t>t-Test: Two-Sample Assuming Equal Variances</t>
  </si>
  <si>
    <t>Variable 1</t>
  </si>
  <si>
    <t>Variable 2</t>
  </si>
  <si>
    <t>Pooled Variance</t>
  </si>
  <si>
    <t>Threshold</t>
  </si>
  <si>
    <t>We accept H0 as the p-value is greater than the alpha value.</t>
  </si>
  <si>
    <t>There is no significant different between female and male.</t>
  </si>
  <si>
    <t>0.000000234436</t>
  </si>
  <si>
    <t>p.value is &lt; alpha, reject the H0</t>
  </si>
  <si>
    <t>There is significant difference between two set of data</t>
  </si>
  <si>
    <t>P.value</t>
  </si>
  <si>
    <t>0.000000791</t>
  </si>
  <si>
    <t>Reject H0</t>
  </si>
  <si>
    <t>P.vlaue - what is the chance to aceept the H0</t>
  </si>
  <si>
    <t>If p.value is &gt;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</si>
</sst>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1E1E1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/>
    <xf numFmtId="2" fontId="0" fillId="0" borderId="0" xfId="0" applyNumberFormat="1"/>
    <xf numFmtId="0" fontId="4" fillId="0" borderId="0" xfId="0" applyFont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63C9-50B2-4E40-89BA-DA5D637DB6FC}">
  <dimension ref="A1:E14"/>
  <sheetViews>
    <sheetView zoomScale="145" workbookViewId="0"/>
  </sheetViews>
  <sheetFormatPr defaultRowHeight="14.4" x14ac:dyDescent="0.3"/>
  <cols>
    <col min="4" max="4" width="20.6640625" customWidth="1"/>
    <col min="5" max="5" width="9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</v>
      </c>
      <c r="B2" s="4">
        <v>4.5</v>
      </c>
      <c r="C2" s="5" t="s">
        <v>5</v>
      </c>
      <c r="D2" s="5" t="s">
        <v>6</v>
      </c>
      <c r="E2" s="6">
        <v>1000000</v>
      </c>
    </row>
    <row r="3" spans="1:5" x14ac:dyDescent="0.3">
      <c r="A3" s="3">
        <f>A2+1</f>
        <v>2</v>
      </c>
      <c r="B3" s="4">
        <v>9</v>
      </c>
      <c r="C3" s="5" t="s">
        <v>7</v>
      </c>
      <c r="D3" s="5" t="s">
        <v>8</v>
      </c>
      <c r="E3" s="6">
        <v>1258000</v>
      </c>
    </row>
    <row r="4" spans="1:5" x14ac:dyDescent="0.3">
      <c r="A4" s="3">
        <f t="shared" ref="A4:A14" si="0">A3+1</f>
        <v>3</v>
      </c>
      <c r="B4" s="4">
        <v>3.6</v>
      </c>
      <c r="C4" s="5" t="s">
        <v>7</v>
      </c>
      <c r="D4" s="5" t="s">
        <v>6</v>
      </c>
      <c r="E4" s="6">
        <v>908000</v>
      </c>
    </row>
    <row r="5" spans="1:5" x14ac:dyDescent="0.3">
      <c r="A5" s="3">
        <f t="shared" si="0"/>
        <v>4</v>
      </c>
      <c r="B5" s="4">
        <v>8</v>
      </c>
      <c r="C5" s="5" t="s">
        <v>7</v>
      </c>
      <c r="D5" s="5" t="s">
        <v>6</v>
      </c>
      <c r="E5" s="6">
        <v>840000</v>
      </c>
    </row>
    <row r="6" spans="1:5" x14ac:dyDescent="0.3">
      <c r="A6" s="3">
        <f t="shared" si="0"/>
        <v>5</v>
      </c>
      <c r="B6" s="4">
        <v>1</v>
      </c>
      <c r="C6" s="5" t="s">
        <v>5</v>
      </c>
      <c r="D6" s="5" t="s">
        <v>9</v>
      </c>
      <c r="E6" s="6">
        <v>500000</v>
      </c>
    </row>
    <row r="7" spans="1:5" x14ac:dyDescent="0.3">
      <c r="A7" s="3">
        <f t="shared" si="0"/>
        <v>6</v>
      </c>
      <c r="B7" s="4">
        <v>12</v>
      </c>
      <c r="C7" s="5" t="s">
        <v>5</v>
      </c>
      <c r="D7" s="5" t="s">
        <v>10</v>
      </c>
      <c r="E7" s="6">
        <v>1500000</v>
      </c>
    </row>
    <row r="8" spans="1:5" x14ac:dyDescent="0.3">
      <c r="A8" s="3">
        <f t="shared" si="0"/>
        <v>7</v>
      </c>
      <c r="B8" s="4">
        <v>4</v>
      </c>
      <c r="C8" s="5" t="s">
        <v>7</v>
      </c>
      <c r="D8" s="5" t="s">
        <v>6</v>
      </c>
      <c r="E8" s="6">
        <v>800000</v>
      </c>
    </row>
    <row r="9" spans="1:5" x14ac:dyDescent="0.3">
      <c r="A9" s="3">
        <f t="shared" si="0"/>
        <v>8</v>
      </c>
      <c r="B9" s="4">
        <v>5.5</v>
      </c>
      <c r="C9" s="5" t="s">
        <v>5</v>
      </c>
      <c r="D9" s="5" t="s">
        <v>8</v>
      </c>
      <c r="E9" s="6">
        <v>1250000</v>
      </c>
    </row>
    <row r="10" spans="1:5" x14ac:dyDescent="0.3">
      <c r="A10" s="3">
        <f t="shared" si="0"/>
        <v>9</v>
      </c>
      <c r="B10" s="4">
        <v>2.2999999999999998</v>
      </c>
      <c r="C10" s="5" t="s">
        <v>7</v>
      </c>
      <c r="D10" s="5" t="s">
        <v>9</v>
      </c>
      <c r="E10" s="6">
        <v>550000</v>
      </c>
    </row>
    <row r="11" spans="1:5" x14ac:dyDescent="0.3">
      <c r="A11" s="3">
        <f t="shared" si="0"/>
        <v>10</v>
      </c>
      <c r="B11" s="4">
        <v>1.9</v>
      </c>
      <c r="C11" s="5" t="s">
        <v>7</v>
      </c>
      <c r="D11" s="5" t="s">
        <v>9</v>
      </c>
      <c r="E11" s="6">
        <v>630000</v>
      </c>
    </row>
    <row r="12" spans="1:5" x14ac:dyDescent="0.3">
      <c r="A12" s="3">
        <f t="shared" si="0"/>
        <v>11</v>
      </c>
      <c r="B12" s="4">
        <v>9.5</v>
      </c>
      <c r="C12" s="5" t="s">
        <v>5</v>
      </c>
      <c r="D12" s="5" t="s">
        <v>8</v>
      </c>
      <c r="E12" s="6">
        <v>1100000</v>
      </c>
    </row>
    <row r="13" spans="1:5" x14ac:dyDescent="0.3">
      <c r="A13" s="3">
        <f t="shared" si="0"/>
        <v>12</v>
      </c>
      <c r="B13" s="4">
        <v>14</v>
      </c>
      <c r="C13" s="5" t="s">
        <v>7</v>
      </c>
      <c r="D13" s="5" t="s">
        <v>10</v>
      </c>
      <c r="E13" s="6">
        <v>1630000</v>
      </c>
    </row>
    <row r="14" spans="1:5" x14ac:dyDescent="0.3">
      <c r="A14" s="3">
        <f t="shared" si="0"/>
        <v>13</v>
      </c>
      <c r="B14" s="4">
        <v>3</v>
      </c>
      <c r="C14" s="5" t="s">
        <v>7</v>
      </c>
      <c r="D14" s="5" t="s">
        <v>9</v>
      </c>
      <c r="E14" s="6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9F10-4AAE-4DC4-86EA-82922B91369E}">
  <dimension ref="A1:C14"/>
  <sheetViews>
    <sheetView workbookViewId="0">
      <selection sqref="A1:C14"/>
    </sheetView>
  </sheetViews>
  <sheetFormatPr defaultRowHeight="14.4" x14ac:dyDescent="0.3"/>
  <sheetData>
    <row r="1" spans="1:3" x14ac:dyDescent="0.3">
      <c r="A1" t="s">
        <v>61</v>
      </c>
    </row>
    <row r="2" spans="1:3" ht="15" thickBot="1" x14ac:dyDescent="0.35"/>
    <row r="3" spans="1:3" x14ac:dyDescent="0.3">
      <c r="A3" s="24"/>
      <c r="B3" s="24" t="s">
        <v>5</v>
      </c>
      <c r="C3" s="24" t="s">
        <v>7</v>
      </c>
    </row>
    <row r="4" spans="1:3" x14ac:dyDescent="0.3">
      <c r="A4" s="22" t="s">
        <v>29</v>
      </c>
      <c r="B4" s="22">
        <v>1070000</v>
      </c>
      <c r="C4" s="22">
        <v>902000</v>
      </c>
    </row>
    <row r="5" spans="1:3" x14ac:dyDescent="0.3">
      <c r="A5" s="22" t="s">
        <v>30</v>
      </c>
      <c r="B5" s="22">
        <v>137000000000</v>
      </c>
      <c r="C5" s="22">
        <v>137156571428.57143</v>
      </c>
    </row>
    <row r="6" spans="1:3" x14ac:dyDescent="0.3">
      <c r="A6" s="22" t="s">
        <v>31</v>
      </c>
      <c r="B6" s="22">
        <v>5</v>
      </c>
      <c r="C6" s="22">
        <v>8</v>
      </c>
    </row>
    <row r="7" spans="1:3" x14ac:dyDescent="0.3">
      <c r="A7" s="22" t="s">
        <v>64</v>
      </c>
      <c r="B7" s="22">
        <v>137099636363.63637</v>
      </c>
      <c r="C7" s="22"/>
    </row>
    <row r="8" spans="1:3" x14ac:dyDescent="0.3">
      <c r="A8" s="22" t="s">
        <v>32</v>
      </c>
      <c r="B8" s="22">
        <v>0</v>
      </c>
      <c r="C8" s="22"/>
    </row>
    <row r="9" spans="1:3" x14ac:dyDescent="0.3">
      <c r="A9" s="22" t="s">
        <v>33</v>
      </c>
      <c r="B9" s="22">
        <v>11</v>
      </c>
      <c r="C9" s="22"/>
    </row>
    <row r="10" spans="1:3" x14ac:dyDescent="0.3">
      <c r="A10" s="22" t="s">
        <v>34</v>
      </c>
      <c r="B10" s="22">
        <v>0.79588340589545037</v>
      </c>
      <c r="C10" s="22"/>
    </row>
    <row r="11" spans="1:3" x14ac:dyDescent="0.3">
      <c r="A11" s="22" t="s">
        <v>35</v>
      </c>
      <c r="B11" s="22">
        <v>0.22146826672610875</v>
      </c>
      <c r="C11" s="22"/>
    </row>
    <row r="12" spans="1:3" x14ac:dyDescent="0.3">
      <c r="A12" s="22" t="s">
        <v>36</v>
      </c>
      <c r="B12" s="22">
        <v>1.7958848187040437</v>
      </c>
      <c r="C12" s="22"/>
    </row>
    <row r="13" spans="1:3" x14ac:dyDescent="0.3">
      <c r="A13" s="22" t="s">
        <v>37</v>
      </c>
      <c r="B13" s="22">
        <v>0.44293653345221751</v>
      </c>
      <c r="C13" s="22"/>
    </row>
    <row r="14" spans="1:3" ht="15" thickBot="1" x14ac:dyDescent="0.35">
      <c r="A14" s="23" t="s">
        <v>38</v>
      </c>
      <c r="B14" s="23">
        <v>2.2009851600916384</v>
      </c>
      <c r="C1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9831-6877-4AE1-8948-C78AE2A7E3AB}">
  <dimension ref="B1:L22"/>
  <sheetViews>
    <sheetView topLeftCell="D1" zoomScale="70" zoomScaleNormal="70" workbookViewId="0">
      <selection activeCell="I8" sqref="I8"/>
    </sheetView>
  </sheetViews>
  <sheetFormatPr defaultRowHeight="14.4" x14ac:dyDescent="0.3"/>
  <cols>
    <col min="6" max="6" width="15.44140625" bestFit="1" customWidth="1"/>
    <col min="7" max="7" width="20.5546875" bestFit="1" customWidth="1"/>
    <col min="9" max="9" width="20.109375" customWidth="1"/>
    <col min="10" max="10" width="19.109375" customWidth="1"/>
  </cols>
  <sheetData>
    <row r="1" spans="2:12" x14ac:dyDescent="0.3">
      <c r="D1" t="s">
        <v>21</v>
      </c>
    </row>
    <row r="3" spans="2:12" x14ac:dyDescent="0.3">
      <c r="B3" s="2" t="s">
        <v>2</v>
      </c>
      <c r="C3" s="2" t="s">
        <v>4</v>
      </c>
      <c r="F3" s="10" t="s">
        <v>5</v>
      </c>
      <c r="G3" s="10" t="s">
        <v>7</v>
      </c>
    </row>
    <row r="4" spans="2:12" x14ac:dyDescent="0.3">
      <c r="B4" s="5" t="s">
        <v>5</v>
      </c>
      <c r="C4" s="6">
        <v>1000000</v>
      </c>
      <c r="F4" s="6">
        <v>500000</v>
      </c>
      <c r="G4" s="6">
        <v>550000</v>
      </c>
    </row>
    <row r="5" spans="2:12" x14ac:dyDescent="0.3">
      <c r="B5" s="5" t="s">
        <v>7</v>
      </c>
      <c r="C5" s="6">
        <v>1258000</v>
      </c>
      <c r="F5" s="6">
        <v>1000000</v>
      </c>
      <c r="G5" s="6">
        <v>600000</v>
      </c>
    </row>
    <row r="6" spans="2:12" x14ac:dyDescent="0.3">
      <c r="B6" s="5" t="s">
        <v>7</v>
      </c>
      <c r="C6" s="6">
        <v>908000</v>
      </c>
      <c r="F6" s="6">
        <v>1100000</v>
      </c>
      <c r="G6" s="6">
        <v>630000</v>
      </c>
    </row>
    <row r="7" spans="2:12" x14ac:dyDescent="0.3">
      <c r="B7" s="5" t="s">
        <v>7</v>
      </c>
      <c r="C7" s="6">
        <v>840000</v>
      </c>
      <c r="F7" s="6">
        <v>1250000</v>
      </c>
      <c r="G7" s="6">
        <v>800000</v>
      </c>
      <c r="J7" t="s">
        <v>61</v>
      </c>
    </row>
    <row r="8" spans="2:12" ht="15" thickBot="1" x14ac:dyDescent="0.35">
      <c r="B8" s="5" t="s">
        <v>5</v>
      </c>
      <c r="C8" s="6">
        <v>500000</v>
      </c>
      <c r="F8" s="6">
        <v>1500000</v>
      </c>
      <c r="G8" s="6">
        <v>840000</v>
      </c>
    </row>
    <row r="9" spans="2:12" x14ac:dyDescent="0.3">
      <c r="B9" s="5" t="s">
        <v>5</v>
      </c>
      <c r="C9" s="6">
        <v>1500000</v>
      </c>
      <c r="F9" s="1"/>
      <c r="G9" s="6">
        <v>908000</v>
      </c>
      <c r="J9" s="19"/>
      <c r="K9" s="19" t="s">
        <v>62</v>
      </c>
      <c r="L9" s="19" t="s">
        <v>63</v>
      </c>
    </row>
    <row r="10" spans="2:12" x14ac:dyDescent="0.3">
      <c r="B10" s="5" t="s">
        <v>7</v>
      </c>
      <c r="C10" s="6">
        <v>800000</v>
      </c>
      <c r="F10" s="1"/>
      <c r="G10" s="6">
        <v>1258000</v>
      </c>
      <c r="J10" t="s">
        <v>29</v>
      </c>
      <c r="K10">
        <v>1070000</v>
      </c>
      <c r="L10">
        <v>902000</v>
      </c>
    </row>
    <row r="11" spans="2:12" x14ac:dyDescent="0.3">
      <c r="B11" s="5" t="s">
        <v>5</v>
      </c>
      <c r="C11" s="6">
        <v>1250000</v>
      </c>
      <c r="F11" s="1"/>
      <c r="G11" s="6">
        <v>1630000</v>
      </c>
      <c r="J11" t="s">
        <v>30</v>
      </c>
      <c r="K11">
        <v>137000000000</v>
      </c>
      <c r="L11">
        <v>137156571428.57143</v>
      </c>
    </row>
    <row r="12" spans="2:12" x14ac:dyDescent="0.3">
      <c r="B12" s="5" t="s">
        <v>7</v>
      </c>
      <c r="C12" s="6">
        <v>550000</v>
      </c>
      <c r="F12" s="11">
        <f>AVERAGE(F4:F11)</f>
        <v>1070000</v>
      </c>
      <c r="G12" s="11">
        <f>AVERAGE(G4:G11)</f>
        <v>902000</v>
      </c>
      <c r="J12" t="s">
        <v>31</v>
      </c>
      <c r="K12">
        <v>5</v>
      </c>
      <c r="L12">
        <v>8</v>
      </c>
    </row>
    <row r="13" spans="2:12" x14ac:dyDescent="0.3">
      <c r="B13" s="5" t="s">
        <v>7</v>
      </c>
      <c r="C13" s="6">
        <v>630000</v>
      </c>
      <c r="J13" t="s">
        <v>64</v>
      </c>
      <c r="K13">
        <v>137099636363.63637</v>
      </c>
    </row>
    <row r="14" spans="2:12" x14ac:dyDescent="0.3">
      <c r="B14" s="5" t="s">
        <v>5</v>
      </c>
      <c r="C14" s="6">
        <v>1100000</v>
      </c>
      <c r="F14" s="12" t="s">
        <v>60</v>
      </c>
      <c r="G14" s="12"/>
      <c r="J14" t="s">
        <v>32</v>
      </c>
      <c r="K14">
        <v>0</v>
      </c>
    </row>
    <row r="15" spans="2:12" x14ac:dyDescent="0.3">
      <c r="B15" s="5" t="s">
        <v>7</v>
      </c>
      <c r="C15" s="6">
        <v>1630000</v>
      </c>
      <c r="J15" t="s">
        <v>33</v>
      </c>
      <c r="K15">
        <v>11</v>
      </c>
    </row>
    <row r="16" spans="2:12" x14ac:dyDescent="0.3">
      <c r="B16" s="5" t="s">
        <v>7</v>
      </c>
      <c r="C16" s="6">
        <v>600000</v>
      </c>
      <c r="J16" t="s">
        <v>34</v>
      </c>
      <c r="K16">
        <v>0.79588340589545037</v>
      </c>
    </row>
    <row r="17" spans="5:12" x14ac:dyDescent="0.3">
      <c r="J17" t="s">
        <v>35</v>
      </c>
      <c r="K17">
        <v>0.22146826672610875</v>
      </c>
    </row>
    <row r="18" spans="5:12" x14ac:dyDescent="0.3">
      <c r="E18" t="s">
        <v>26</v>
      </c>
      <c r="F18">
        <v>0.05</v>
      </c>
      <c r="G18" t="s">
        <v>65</v>
      </c>
      <c r="J18" t="s">
        <v>36</v>
      </c>
      <c r="K18">
        <v>1.7958848187040437</v>
      </c>
    </row>
    <row r="19" spans="5:12" x14ac:dyDescent="0.3">
      <c r="E19" t="s">
        <v>27</v>
      </c>
      <c r="F19">
        <v>0.44290000000000002</v>
      </c>
      <c r="J19" t="s">
        <v>37</v>
      </c>
      <c r="K19">
        <v>0.44293653345221751</v>
      </c>
    </row>
    <row r="20" spans="5:12" ht="15" thickBot="1" x14ac:dyDescent="0.35">
      <c r="F20" s="13"/>
      <c r="J20" s="18" t="s">
        <v>38</v>
      </c>
      <c r="K20" s="18">
        <v>2.2009851600916384</v>
      </c>
      <c r="L20" s="18"/>
    </row>
    <row r="21" spans="5:12" x14ac:dyDescent="0.3">
      <c r="E21" t="s">
        <v>66</v>
      </c>
    </row>
    <row r="22" spans="5:12" x14ac:dyDescent="0.3">
      <c r="E2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C57B-A751-4027-A6B1-3E1E8124D456}">
  <dimension ref="A1:C14"/>
  <sheetViews>
    <sheetView workbookViewId="0">
      <selection sqref="A1:C14"/>
    </sheetView>
  </sheetViews>
  <sheetFormatPr defaultRowHeight="14.4" x14ac:dyDescent="0.3"/>
  <sheetData>
    <row r="1" spans="1:3" x14ac:dyDescent="0.3">
      <c r="A1" t="s">
        <v>39</v>
      </c>
    </row>
    <row r="2" spans="1:3" ht="15" thickBot="1" x14ac:dyDescent="0.35"/>
    <row r="3" spans="1:3" x14ac:dyDescent="0.3">
      <c r="A3" s="24"/>
      <c r="B3" s="24" t="s">
        <v>19</v>
      </c>
      <c r="C3" s="24" t="s">
        <v>20</v>
      </c>
    </row>
    <row r="4" spans="1:3" x14ac:dyDescent="0.3">
      <c r="A4" s="22" t="s">
        <v>29</v>
      </c>
      <c r="B4" s="22">
        <v>150.80000000000001</v>
      </c>
      <c r="C4" s="22">
        <v>138</v>
      </c>
    </row>
    <row r="5" spans="1:3" x14ac:dyDescent="0.3">
      <c r="A5" s="22" t="s">
        <v>30</v>
      </c>
      <c r="B5" s="22">
        <v>85.066666666666663</v>
      </c>
      <c r="C5" s="22">
        <v>52</v>
      </c>
    </row>
    <row r="6" spans="1:3" x14ac:dyDescent="0.3">
      <c r="A6" s="22" t="s">
        <v>31</v>
      </c>
      <c r="B6" s="22">
        <v>10</v>
      </c>
      <c r="C6" s="22">
        <v>10</v>
      </c>
    </row>
    <row r="7" spans="1:3" x14ac:dyDescent="0.3">
      <c r="A7" s="22" t="s">
        <v>40</v>
      </c>
      <c r="B7" s="22">
        <v>0.9656148798590457</v>
      </c>
      <c r="C7" s="22"/>
    </row>
    <row r="8" spans="1:3" x14ac:dyDescent="0.3">
      <c r="A8" s="22" t="s">
        <v>32</v>
      </c>
      <c r="B8" s="22">
        <v>0</v>
      </c>
      <c r="C8" s="22"/>
    </row>
    <row r="9" spans="1:3" x14ac:dyDescent="0.3">
      <c r="A9" s="22" t="s">
        <v>33</v>
      </c>
      <c r="B9" s="22">
        <v>9</v>
      </c>
      <c r="C9" s="22"/>
    </row>
    <row r="10" spans="1:3" x14ac:dyDescent="0.3">
      <c r="A10" s="22" t="s">
        <v>34</v>
      </c>
      <c r="B10" s="22">
        <v>13.784796645460581</v>
      </c>
      <c r="C10" s="22"/>
    </row>
    <row r="11" spans="1:3" x14ac:dyDescent="0.3">
      <c r="A11" s="22" t="s">
        <v>35</v>
      </c>
      <c r="B11" s="22">
        <v>1.172180228514178E-7</v>
      </c>
      <c r="C11" s="22"/>
    </row>
    <row r="12" spans="1:3" x14ac:dyDescent="0.3">
      <c r="A12" s="22" t="s">
        <v>36</v>
      </c>
      <c r="B12" s="22">
        <v>1.8331129326562374</v>
      </c>
      <c r="C12" s="22"/>
    </row>
    <row r="13" spans="1:3" x14ac:dyDescent="0.3">
      <c r="A13" s="22" t="s">
        <v>37</v>
      </c>
      <c r="B13" s="22">
        <v>2.3443604570283559E-7</v>
      </c>
      <c r="C13" s="22"/>
    </row>
    <row r="14" spans="1:3" ht="15" thickBot="1" x14ac:dyDescent="0.35">
      <c r="A14" s="23" t="s">
        <v>38</v>
      </c>
      <c r="B14" s="23">
        <v>2.2621571627982053</v>
      </c>
      <c r="C14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4164-92B9-4891-B4AD-0963A0757BE2}">
  <dimension ref="C2:N22"/>
  <sheetViews>
    <sheetView topLeftCell="A3" workbookViewId="0">
      <selection activeCell="F21" sqref="F21"/>
    </sheetView>
  </sheetViews>
  <sheetFormatPr defaultRowHeight="14.4" x14ac:dyDescent="0.3"/>
  <cols>
    <col min="3" max="3" width="17" customWidth="1"/>
    <col min="4" max="4" width="11.77734375" bestFit="1" customWidth="1"/>
    <col min="5" max="5" width="15.88671875" customWidth="1"/>
    <col min="6" max="7" width="8.77734375" customWidth="1"/>
    <col min="8" max="8" width="9" customWidth="1"/>
    <col min="9" max="9" width="8.77734375" customWidth="1"/>
    <col min="10" max="10" width="8.5546875" customWidth="1"/>
    <col min="11" max="12" width="8.77734375" customWidth="1"/>
    <col min="13" max="13" width="16" customWidth="1"/>
  </cols>
  <sheetData>
    <row r="2" spans="3:14" x14ac:dyDescent="0.3">
      <c r="C2" t="s">
        <v>21</v>
      </c>
    </row>
    <row r="4" spans="3:14" x14ac:dyDescent="0.3">
      <c r="C4" s="21" t="s">
        <v>18</v>
      </c>
      <c r="D4" s="1" t="s">
        <v>19</v>
      </c>
      <c r="E4" s="6">
        <v>140</v>
      </c>
      <c r="F4" s="1">
        <v>135</v>
      </c>
      <c r="G4" s="1">
        <v>150</v>
      </c>
      <c r="H4" s="1">
        <v>155</v>
      </c>
      <c r="I4" s="1">
        <v>160</v>
      </c>
      <c r="J4" s="1">
        <v>145</v>
      </c>
      <c r="K4" s="1">
        <v>148</v>
      </c>
      <c r="L4" s="1">
        <v>165</v>
      </c>
      <c r="M4" s="1">
        <v>152</v>
      </c>
      <c r="N4" s="1">
        <v>158</v>
      </c>
    </row>
    <row r="5" spans="3:14" x14ac:dyDescent="0.3">
      <c r="C5" s="21"/>
      <c r="D5" s="1" t="s">
        <v>20</v>
      </c>
      <c r="E5" s="1">
        <v>130</v>
      </c>
      <c r="F5" s="1">
        <v>125</v>
      </c>
      <c r="G5" s="1">
        <v>135</v>
      </c>
      <c r="H5" s="1">
        <v>140</v>
      </c>
      <c r="I5" s="1">
        <v>145</v>
      </c>
      <c r="J5" s="1">
        <v>135</v>
      </c>
      <c r="K5" s="1">
        <v>140</v>
      </c>
      <c r="L5" s="1">
        <v>150</v>
      </c>
      <c r="M5" s="1">
        <v>138</v>
      </c>
      <c r="N5" s="1">
        <v>142</v>
      </c>
    </row>
    <row r="9" spans="3:14" x14ac:dyDescent="0.3">
      <c r="D9" t="s">
        <v>39</v>
      </c>
    </row>
    <row r="10" spans="3:14" ht="15" thickBot="1" x14ac:dyDescent="0.35">
      <c r="L10" t="s">
        <v>27</v>
      </c>
      <c r="M10" s="20" t="s">
        <v>68</v>
      </c>
    </row>
    <row r="11" spans="3:14" x14ac:dyDescent="0.3">
      <c r="D11" s="19"/>
      <c r="E11" s="19" t="s">
        <v>62</v>
      </c>
      <c r="F11" s="19" t="s">
        <v>63</v>
      </c>
      <c r="L11" t="s">
        <v>69</v>
      </c>
    </row>
    <row r="12" spans="3:14" x14ac:dyDescent="0.3">
      <c r="D12" t="s">
        <v>29</v>
      </c>
      <c r="E12">
        <v>150.80000000000001</v>
      </c>
      <c r="F12">
        <v>138</v>
      </c>
      <c r="L12" t="s">
        <v>70</v>
      </c>
    </row>
    <row r="13" spans="3:14" x14ac:dyDescent="0.3">
      <c r="D13" t="s">
        <v>30</v>
      </c>
      <c r="E13">
        <v>85.066666666666663</v>
      </c>
      <c r="F13">
        <v>52</v>
      </c>
    </row>
    <row r="14" spans="3:14" x14ac:dyDescent="0.3">
      <c r="D14" t="s">
        <v>31</v>
      </c>
      <c r="E14">
        <v>10</v>
      </c>
      <c r="F14">
        <v>10</v>
      </c>
    </row>
    <row r="15" spans="3:14" x14ac:dyDescent="0.3">
      <c r="D15" t="s">
        <v>40</v>
      </c>
      <c r="E15">
        <v>0.9656148798590457</v>
      </c>
    </row>
    <row r="16" spans="3:14" x14ac:dyDescent="0.3">
      <c r="D16" t="s">
        <v>32</v>
      </c>
      <c r="E16">
        <v>0</v>
      </c>
    </row>
    <row r="17" spans="4:6" x14ac:dyDescent="0.3">
      <c r="D17" t="s">
        <v>33</v>
      </c>
      <c r="E17">
        <v>9</v>
      </c>
    </row>
    <row r="18" spans="4:6" x14ac:dyDescent="0.3">
      <c r="D18" t="s">
        <v>34</v>
      </c>
      <c r="E18">
        <v>13.784796645460581</v>
      </c>
    </row>
    <row r="19" spans="4:6" x14ac:dyDescent="0.3">
      <c r="D19" t="s">
        <v>35</v>
      </c>
      <c r="E19">
        <v>1.172180228514178E-7</v>
      </c>
    </row>
    <row r="20" spans="4:6" x14ac:dyDescent="0.3">
      <c r="D20" t="s">
        <v>36</v>
      </c>
      <c r="E20">
        <v>1.8331129326562374</v>
      </c>
    </row>
    <row r="21" spans="4:6" x14ac:dyDescent="0.3">
      <c r="D21" t="s">
        <v>37</v>
      </c>
      <c r="E21">
        <v>2.3443604570283559E-7</v>
      </c>
    </row>
    <row r="22" spans="4:6" ht="15" thickBot="1" x14ac:dyDescent="0.35">
      <c r="D22" s="18" t="s">
        <v>38</v>
      </c>
      <c r="E22" s="18">
        <v>2.2621571627982053</v>
      </c>
      <c r="F22" s="18"/>
    </row>
  </sheetData>
  <mergeCells count="1">
    <mergeCell ref="C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4B15-282C-4BBF-8B4E-918F84730905}">
  <dimension ref="A1:G16"/>
  <sheetViews>
    <sheetView workbookViewId="0">
      <selection sqref="A1:G16"/>
    </sheetView>
  </sheetViews>
  <sheetFormatPr defaultRowHeight="14.4" x14ac:dyDescent="0.3"/>
  <sheetData>
    <row r="1" spans="1:7" x14ac:dyDescent="0.3">
      <c r="A1" t="s">
        <v>41</v>
      </c>
    </row>
    <row r="3" spans="1:7" ht="15" thickBot="1" x14ac:dyDescent="0.35">
      <c r="A3" t="s">
        <v>42</v>
      </c>
    </row>
    <row r="4" spans="1:7" x14ac:dyDescent="0.3">
      <c r="A4" s="24" t="s">
        <v>43</v>
      </c>
      <c r="B4" s="24" t="s">
        <v>44</v>
      </c>
      <c r="C4" s="24" t="s">
        <v>45</v>
      </c>
      <c r="D4" s="24" t="s">
        <v>46</v>
      </c>
      <c r="E4" s="24" t="s">
        <v>30</v>
      </c>
    </row>
    <row r="5" spans="1:7" x14ac:dyDescent="0.3">
      <c r="A5" s="22" t="s">
        <v>9</v>
      </c>
      <c r="B5" s="22">
        <v>4</v>
      </c>
      <c r="C5" s="22">
        <v>2280000</v>
      </c>
      <c r="D5" s="22">
        <v>570000</v>
      </c>
      <c r="E5" s="22">
        <v>3266666666.6666665</v>
      </c>
    </row>
    <row r="6" spans="1:7" x14ac:dyDescent="0.3">
      <c r="A6" s="22" t="s">
        <v>6</v>
      </c>
      <c r="B6" s="22">
        <v>4</v>
      </c>
      <c r="C6" s="22">
        <v>3548000</v>
      </c>
      <c r="D6" s="22">
        <v>887000</v>
      </c>
      <c r="E6" s="22">
        <v>7662666666.666667</v>
      </c>
    </row>
    <row r="7" spans="1:7" x14ac:dyDescent="0.3">
      <c r="A7" s="22" t="s">
        <v>8</v>
      </c>
      <c r="B7" s="22">
        <v>3</v>
      </c>
      <c r="C7" s="22">
        <v>3608000</v>
      </c>
      <c r="D7" s="22">
        <v>1202666.6666666667</v>
      </c>
      <c r="E7" s="22">
        <v>7921333333.333333</v>
      </c>
    </row>
    <row r="8" spans="1:7" ht="15" thickBot="1" x14ac:dyDescent="0.35">
      <c r="A8" s="23" t="s">
        <v>10</v>
      </c>
      <c r="B8" s="23">
        <v>2</v>
      </c>
      <c r="C8" s="23">
        <v>3130000</v>
      </c>
      <c r="D8" s="23">
        <v>1565000</v>
      </c>
      <c r="E8" s="23">
        <v>8450000000</v>
      </c>
    </row>
    <row r="11" spans="1:7" ht="15" thickBot="1" x14ac:dyDescent="0.35">
      <c r="A11" t="s">
        <v>47</v>
      </c>
    </row>
    <row r="12" spans="1:7" x14ac:dyDescent="0.3">
      <c r="A12" s="24" t="s">
        <v>48</v>
      </c>
      <c r="B12" s="24" t="s">
        <v>49</v>
      </c>
      <c r="C12" s="24" t="s">
        <v>33</v>
      </c>
      <c r="D12" s="24" t="s">
        <v>50</v>
      </c>
      <c r="E12" s="24" t="s">
        <v>51</v>
      </c>
      <c r="F12" s="24" t="s">
        <v>13</v>
      </c>
      <c r="G12" s="24" t="s">
        <v>52</v>
      </c>
    </row>
    <row r="13" spans="1:7" x14ac:dyDescent="0.3">
      <c r="A13" s="22" t="s">
        <v>53</v>
      </c>
      <c r="B13" s="22">
        <v>1537858410256.4104</v>
      </c>
      <c r="C13" s="22">
        <v>3</v>
      </c>
      <c r="D13" s="22">
        <v>512619470085.47015</v>
      </c>
      <c r="E13" s="22">
        <v>80.825531658750151</v>
      </c>
      <c r="F13" s="22">
        <v>7.9100040948571466E-7</v>
      </c>
      <c r="G13" s="22">
        <v>3.8625483576247648</v>
      </c>
    </row>
    <row r="14" spans="1:7" x14ac:dyDescent="0.3">
      <c r="A14" s="22" t="s">
        <v>54</v>
      </c>
      <c r="B14" s="22">
        <v>57080666666.666664</v>
      </c>
      <c r="C14" s="22">
        <v>9</v>
      </c>
      <c r="D14" s="22">
        <v>6342296296.2962961</v>
      </c>
      <c r="E14" s="22"/>
      <c r="F14" s="22"/>
      <c r="G14" s="22"/>
    </row>
    <row r="15" spans="1:7" x14ac:dyDescent="0.3">
      <c r="A15" s="22"/>
      <c r="B15" s="22"/>
      <c r="C15" s="22"/>
      <c r="D15" s="22"/>
      <c r="E15" s="22"/>
      <c r="F15" s="22"/>
      <c r="G15" s="22"/>
    </row>
    <row r="16" spans="1:7" ht="15" thickBot="1" x14ac:dyDescent="0.35">
      <c r="A16" s="23" t="s">
        <v>55</v>
      </c>
      <c r="B16" s="23">
        <v>1594939076923.0771</v>
      </c>
      <c r="C16" s="23">
        <v>12</v>
      </c>
      <c r="D16" s="23"/>
      <c r="E16" s="23"/>
      <c r="F16" s="23"/>
      <c r="G1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CEBE-1EBA-4486-BE7A-4965EE54446B}">
  <dimension ref="A1:L32"/>
  <sheetViews>
    <sheetView topLeftCell="A13" workbookViewId="0">
      <selection activeCell="B26" sqref="B26"/>
    </sheetView>
  </sheetViews>
  <sheetFormatPr defaultRowHeight="14.4" x14ac:dyDescent="0.3"/>
  <cols>
    <col min="2" max="2" width="13.77734375" customWidth="1"/>
    <col min="3" max="3" width="11.44140625" customWidth="1"/>
    <col min="6" max="6" width="12.21875" customWidth="1"/>
    <col min="7" max="7" width="11.88671875" customWidth="1"/>
    <col min="8" max="8" width="12.21875" customWidth="1"/>
    <col min="9" max="9" width="14.77734375" customWidth="1"/>
    <col min="10" max="10" width="22.77734375" customWidth="1"/>
    <col min="11" max="11" width="8.88671875" customWidth="1"/>
  </cols>
  <sheetData>
    <row r="1" spans="2:10" x14ac:dyDescent="0.3">
      <c r="B1" t="s">
        <v>15</v>
      </c>
      <c r="J1" t="s">
        <v>25</v>
      </c>
    </row>
    <row r="4" spans="2:10" x14ac:dyDescent="0.3">
      <c r="B4" s="2" t="s">
        <v>3</v>
      </c>
      <c r="C4" s="2" t="s">
        <v>4</v>
      </c>
    </row>
    <row r="5" spans="2:10" x14ac:dyDescent="0.3">
      <c r="B5" s="5" t="s">
        <v>6</v>
      </c>
      <c r="C5" s="6">
        <v>1000000</v>
      </c>
    </row>
    <row r="6" spans="2:10" x14ac:dyDescent="0.3">
      <c r="B6" s="5" t="s">
        <v>8</v>
      </c>
      <c r="C6" s="6">
        <v>1258000</v>
      </c>
      <c r="E6" s="7"/>
      <c r="F6" s="8" t="s">
        <v>9</v>
      </c>
      <c r="G6" s="8" t="s">
        <v>6</v>
      </c>
      <c r="H6" s="8" t="s">
        <v>8</v>
      </c>
      <c r="I6" s="8" t="s">
        <v>10</v>
      </c>
    </row>
    <row r="7" spans="2:10" x14ac:dyDescent="0.3">
      <c r="B7" s="5" t="s">
        <v>6</v>
      </c>
      <c r="C7" s="6">
        <v>908000</v>
      </c>
      <c r="E7" s="1"/>
      <c r="F7" s="9">
        <v>500000</v>
      </c>
      <c r="G7" s="9">
        <v>800000</v>
      </c>
      <c r="H7" s="9">
        <v>1100000</v>
      </c>
      <c r="I7" s="9">
        <v>1500000</v>
      </c>
    </row>
    <row r="8" spans="2:10" x14ac:dyDescent="0.3">
      <c r="B8" s="5" t="s">
        <v>6</v>
      </c>
      <c r="C8" s="6">
        <v>840000</v>
      </c>
      <c r="E8" s="1"/>
      <c r="F8" s="9">
        <v>550000</v>
      </c>
      <c r="G8" s="9">
        <v>840000</v>
      </c>
      <c r="H8" s="9">
        <v>1250000</v>
      </c>
      <c r="I8" s="9">
        <v>1630000</v>
      </c>
    </row>
    <row r="9" spans="2:10" x14ac:dyDescent="0.3">
      <c r="B9" s="5" t="s">
        <v>9</v>
      </c>
      <c r="C9" s="6">
        <v>500000</v>
      </c>
      <c r="E9" s="1"/>
      <c r="F9" s="9">
        <v>600000</v>
      </c>
      <c r="G9" s="9">
        <v>908000</v>
      </c>
      <c r="H9" s="9">
        <v>1258000</v>
      </c>
      <c r="I9" s="9"/>
    </row>
    <row r="10" spans="2:10" x14ac:dyDescent="0.3">
      <c r="B10" s="5" t="s">
        <v>10</v>
      </c>
      <c r="C10" s="6">
        <v>1500000</v>
      </c>
      <c r="E10" s="1"/>
      <c r="F10" s="9">
        <v>630000</v>
      </c>
      <c r="G10" s="9">
        <v>1000000</v>
      </c>
      <c r="H10" s="1"/>
      <c r="I10" s="1"/>
    </row>
    <row r="11" spans="2:10" x14ac:dyDescent="0.3">
      <c r="B11" s="5" t="s">
        <v>6</v>
      </c>
      <c r="C11" s="6">
        <v>800000</v>
      </c>
    </row>
    <row r="12" spans="2:10" x14ac:dyDescent="0.3">
      <c r="B12" s="5" t="s">
        <v>8</v>
      </c>
      <c r="C12" s="6">
        <v>1250000</v>
      </c>
      <c r="E12" t="s">
        <v>16</v>
      </c>
    </row>
    <row r="13" spans="2:10" x14ac:dyDescent="0.3">
      <c r="B13" s="5" t="s">
        <v>9</v>
      </c>
      <c r="C13" s="6">
        <v>550000</v>
      </c>
      <c r="E13" t="s">
        <v>17</v>
      </c>
    </row>
    <row r="14" spans="2:10" x14ac:dyDescent="0.3">
      <c r="B14" s="5" t="s">
        <v>9</v>
      </c>
      <c r="C14" s="6">
        <v>630000</v>
      </c>
    </row>
    <row r="15" spans="2:10" x14ac:dyDescent="0.3">
      <c r="B15" s="5" t="s">
        <v>8</v>
      </c>
      <c r="C15" s="6">
        <v>1100000</v>
      </c>
    </row>
    <row r="16" spans="2:10" x14ac:dyDescent="0.3">
      <c r="B16" s="5" t="s">
        <v>10</v>
      </c>
      <c r="C16" s="6">
        <v>1630000</v>
      </c>
    </row>
    <row r="17" spans="1:12" x14ac:dyDescent="0.3">
      <c r="B17" s="5" t="s">
        <v>9</v>
      </c>
      <c r="C17" s="6">
        <v>600000</v>
      </c>
      <c r="F17" t="s">
        <v>41</v>
      </c>
    </row>
    <row r="19" spans="1:12" ht="15" thickBot="1" x14ac:dyDescent="0.35">
      <c r="F19" t="s">
        <v>42</v>
      </c>
    </row>
    <row r="20" spans="1:12" x14ac:dyDescent="0.3">
      <c r="F20" s="19" t="s">
        <v>43</v>
      </c>
      <c r="G20" s="19" t="s">
        <v>44</v>
      </c>
      <c r="H20" s="19" t="s">
        <v>45</v>
      </c>
      <c r="I20" s="19" t="s">
        <v>46</v>
      </c>
      <c r="J20" s="19" t="s">
        <v>30</v>
      </c>
    </row>
    <row r="21" spans="1:12" x14ac:dyDescent="0.3">
      <c r="A21" t="s">
        <v>71</v>
      </c>
      <c r="B21" s="20" t="s">
        <v>72</v>
      </c>
      <c r="F21" t="s">
        <v>9</v>
      </c>
      <c r="G21">
        <v>4</v>
      </c>
      <c r="H21">
        <v>2280000</v>
      </c>
      <c r="I21">
        <v>570000</v>
      </c>
      <c r="J21">
        <v>3266666666.6666665</v>
      </c>
    </row>
    <row r="22" spans="1:12" x14ac:dyDescent="0.3">
      <c r="F22" t="s">
        <v>6</v>
      </c>
      <c r="G22">
        <v>4</v>
      </c>
      <c r="H22">
        <v>3548000</v>
      </c>
      <c r="I22">
        <v>887000</v>
      </c>
      <c r="J22">
        <v>7662666666.666667</v>
      </c>
    </row>
    <row r="23" spans="1:12" x14ac:dyDescent="0.3">
      <c r="B23" t="s">
        <v>73</v>
      </c>
      <c r="F23" t="s">
        <v>8</v>
      </c>
      <c r="G23">
        <v>3</v>
      </c>
      <c r="H23">
        <v>3608000</v>
      </c>
      <c r="I23">
        <v>1202666.6666666667</v>
      </c>
      <c r="J23">
        <v>7921333333.333333</v>
      </c>
    </row>
    <row r="24" spans="1:12" ht="15" thickBot="1" x14ac:dyDescent="0.35">
      <c r="F24" s="18" t="s">
        <v>10</v>
      </c>
      <c r="G24" s="18">
        <v>2</v>
      </c>
      <c r="H24" s="18">
        <v>3130000</v>
      </c>
      <c r="I24" s="18">
        <v>1565000</v>
      </c>
      <c r="J24" s="18">
        <v>8450000000</v>
      </c>
    </row>
    <row r="27" spans="1:12" ht="15" thickBot="1" x14ac:dyDescent="0.35">
      <c r="F27" t="s">
        <v>47</v>
      </c>
    </row>
    <row r="28" spans="1:12" x14ac:dyDescent="0.3">
      <c r="F28" s="19" t="s">
        <v>48</v>
      </c>
      <c r="G28" s="19" t="s">
        <v>49</v>
      </c>
      <c r="H28" s="19" t="s">
        <v>33</v>
      </c>
      <c r="I28" s="19" t="s">
        <v>50</v>
      </c>
      <c r="J28" s="19" t="s">
        <v>51</v>
      </c>
      <c r="K28" s="19" t="s">
        <v>13</v>
      </c>
      <c r="L28" s="19" t="s">
        <v>52</v>
      </c>
    </row>
    <row r="29" spans="1:12" x14ac:dyDescent="0.3">
      <c r="F29" t="s">
        <v>53</v>
      </c>
      <c r="G29">
        <v>1537858410256.4104</v>
      </c>
      <c r="H29">
        <v>3</v>
      </c>
      <c r="I29">
        <v>512619470085.47015</v>
      </c>
      <c r="J29">
        <v>80.825531658750151</v>
      </c>
      <c r="K29">
        <v>7.9100040948571466E-7</v>
      </c>
      <c r="L29">
        <v>3.8625483576247648</v>
      </c>
    </row>
    <row r="30" spans="1:12" x14ac:dyDescent="0.3">
      <c r="F30" t="s">
        <v>54</v>
      </c>
      <c r="G30">
        <v>57080666666.666664</v>
      </c>
      <c r="H30">
        <v>9</v>
      </c>
      <c r="I30">
        <v>6342296296.2962961</v>
      </c>
    </row>
    <row r="32" spans="1:12" ht="15" thickBot="1" x14ac:dyDescent="0.35">
      <c r="F32" s="18" t="s">
        <v>55</v>
      </c>
      <c r="G32" s="18">
        <v>1594939076923.0771</v>
      </c>
      <c r="H32" s="18">
        <v>12</v>
      </c>
      <c r="I32" s="18"/>
      <c r="J32" s="18"/>
      <c r="K32" s="18"/>
      <c r="L32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4D48-F1BE-44BE-A0B6-E2526A162EE4}">
  <dimension ref="A1:N38"/>
  <sheetViews>
    <sheetView tabSelected="1" topLeftCell="D15" workbookViewId="0">
      <selection activeCell="F38" sqref="F38"/>
    </sheetView>
  </sheetViews>
  <sheetFormatPr defaultRowHeight="14.4" x14ac:dyDescent="0.3"/>
  <cols>
    <col min="2" max="2" width="17.6640625" customWidth="1"/>
    <col min="10" max="10" width="11.77734375" customWidth="1"/>
  </cols>
  <sheetData>
    <row r="1" spans="1:14" x14ac:dyDescent="0.3">
      <c r="B1" t="s">
        <v>12</v>
      </c>
    </row>
    <row r="3" spans="1:14" x14ac:dyDescent="0.3">
      <c r="A3" s="2" t="s">
        <v>2</v>
      </c>
      <c r="B3" s="2" t="s">
        <v>3</v>
      </c>
      <c r="F3" t="s">
        <v>22</v>
      </c>
    </row>
    <row r="4" spans="1:14" x14ac:dyDescent="0.3">
      <c r="A4" s="5" t="s">
        <v>5</v>
      </c>
      <c r="B4" s="5" t="s">
        <v>6</v>
      </c>
      <c r="F4" t="s">
        <v>11</v>
      </c>
      <c r="N4" t="s">
        <v>74</v>
      </c>
    </row>
    <row r="5" spans="1:14" x14ac:dyDescent="0.3">
      <c r="A5" s="5" t="s">
        <v>7</v>
      </c>
      <c r="B5" s="5" t="s">
        <v>8</v>
      </c>
      <c r="F5" t="s">
        <v>13</v>
      </c>
      <c r="G5" t="s">
        <v>14</v>
      </c>
    </row>
    <row r="6" spans="1:14" x14ac:dyDescent="0.3">
      <c r="A6" s="5" t="s">
        <v>7</v>
      </c>
      <c r="B6" s="5" t="s">
        <v>6</v>
      </c>
      <c r="F6" t="s">
        <v>17</v>
      </c>
      <c r="N6" t="s">
        <v>75</v>
      </c>
    </row>
    <row r="7" spans="1:14" x14ac:dyDescent="0.3">
      <c r="A7" s="5" t="s">
        <v>7</v>
      </c>
      <c r="B7" s="5" t="s">
        <v>6</v>
      </c>
    </row>
    <row r="8" spans="1:14" x14ac:dyDescent="0.3">
      <c r="A8" s="5" t="s">
        <v>5</v>
      </c>
      <c r="B8" s="5" t="s">
        <v>9</v>
      </c>
    </row>
    <row r="9" spans="1:14" x14ac:dyDescent="0.3">
      <c r="A9" s="5" t="s">
        <v>5</v>
      </c>
      <c r="B9" s="5" t="s">
        <v>10</v>
      </c>
      <c r="F9" t="s">
        <v>28</v>
      </c>
    </row>
    <row r="10" spans="1:14" x14ac:dyDescent="0.3">
      <c r="A10" s="5" t="s">
        <v>7</v>
      </c>
      <c r="B10" s="5" t="s">
        <v>6</v>
      </c>
      <c r="F10" t="s">
        <v>23</v>
      </c>
    </row>
    <row r="11" spans="1:14" x14ac:dyDescent="0.3">
      <c r="A11" s="5" t="s">
        <v>5</v>
      </c>
      <c r="B11" s="5" t="s">
        <v>8</v>
      </c>
      <c r="F11" t="s">
        <v>24</v>
      </c>
    </row>
    <row r="12" spans="1:14" x14ac:dyDescent="0.3">
      <c r="A12" s="5" t="s">
        <v>7</v>
      </c>
      <c r="B12" s="5" t="s">
        <v>9</v>
      </c>
    </row>
    <row r="13" spans="1:14" x14ac:dyDescent="0.3">
      <c r="A13" s="5" t="s">
        <v>7</v>
      </c>
      <c r="B13" s="5" t="s">
        <v>9</v>
      </c>
    </row>
    <row r="14" spans="1:14" x14ac:dyDescent="0.3">
      <c r="A14" s="5" t="s">
        <v>5</v>
      </c>
      <c r="B14" s="5" t="s">
        <v>8</v>
      </c>
      <c r="F14" s="17" t="s">
        <v>56</v>
      </c>
    </row>
    <row r="15" spans="1:14" x14ac:dyDescent="0.3">
      <c r="A15" s="5" t="s">
        <v>7</v>
      </c>
      <c r="B15" s="5" t="s">
        <v>10</v>
      </c>
      <c r="F15" s="1"/>
      <c r="G15" s="14" t="s">
        <v>9</v>
      </c>
      <c r="H15" s="14" t="s">
        <v>6</v>
      </c>
      <c r="I15" s="14" t="s">
        <v>8</v>
      </c>
      <c r="J15" s="14" t="s">
        <v>10</v>
      </c>
      <c r="K15" s="16"/>
    </row>
    <row r="16" spans="1:14" x14ac:dyDescent="0.3">
      <c r="A16" s="5" t="s">
        <v>7</v>
      </c>
      <c r="B16" s="5" t="s">
        <v>9</v>
      </c>
      <c r="F16" s="1" t="s">
        <v>5</v>
      </c>
      <c r="G16" s="1">
        <v>1</v>
      </c>
      <c r="H16" s="1">
        <v>1</v>
      </c>
      <c r="I16" s="1">
        <v>2</v>
      </c>
      <c r="J16" s="1">
        <v>1</v>
      </c>
      <c r="K16" s="15">
        <v>5</v>
      </c>
    </row>
    <row r="17" spans="5:13" x14ac:dyDescent="0.3">
      <c r="F17" s="1" t="s">
        <v>7</v>
      </c>
      <c r="G17" s="1">
        <v>3</v>
      </c>
      <c r="H17" s="1">
        <v>3</v>
      </c>
      <c r="I17" s="1">
        <v>1</v>
      </c>
      <c r="J17" s="1">
        <v>1</v>
      </c>
      <c r="K17" s="15">
        <v>8</v>
      </c>
    </row>
    <row r="18" spans="5:13" x14ac:dyDescent="0.3">
      <c r="F18" s="15"/>
      <c r="G18" s="15">
        <v>4</v>
      </c>
      <c r="H18" s="15">
        <v>4</v>
      </c>
      <c r="I18" s="15">
        <v>3</v>
      </c>
      <c r="J18" s="15">
        <v>2</v>
      </c>
      <c r="K18" s="16">
        <v>13</v>
      </c>
      <c r="M18" t="s">
        <v>11</v>
      </c>
    </row>
    <row r="21" spans="5:13" x14ac:dyDescent="0.3">
      <c r="F21" s="17" t="s">
        <v>57</v>
      </c>
    </row>
    <row r="22" spans="5:13" x14ac:dyDescent="0.3">
      <c r="F22" s="1"/>
      <c r="G22" s="14" t="s">
        <v>9</v>
      </c>
      <c r="H22" s="14" t="s">
        <v>6</v>
      </c>
      <c r="I22" s="14" t="s">
        <v>8</v>
      </c>
      <c r="J22" s="14" t="s">
        <v>10</v>
      </c>
      <c r="K22" s="14"/>
    </row>
    <row r="23" spans="5:13" x14ac:dyDescent="0.3">
      <c r="F23" s="1" t="s">
        <v>5</v>
      </c>
      <c r="G23" s="1">
        <f>(K16*G18)/K18</f>
        <v>1.5384615384615385</v>
      </c>
      <c r="H23" s="1">
        <f>(K16*H18)/K18</f>
        <v>1.5384615384615385</v>
      </c>
      <c r="I23" s="1">
        <f>(K16*I18)/K18</f>
        <v>1.1538461538461537</v>
      </c>
      <c r="J23" s="1">
        <f>(K16*J18)/K18</f>
        <v>0.76923076923076927</v>
      </c>
      <c r="K23" s="1"/>
    </row>
    <row r="24" spans="5:13" x14ac:dyDescent="0.3">
      <c r="F24" s="1" t="s">
        <v>7</v>
      </c>
      <c r="G24" s="1">
        <f>(K17*G18)/K18</f>
        <v>2.4615384615384617</v>
      </c>
      <c r="H24" s="1">
        <f>(K17*H18)/K18</f>
        <v>2.4615384615384617</v>
      </c>
      <c r="I24" s="1">
        <f>(K17*I18)/K18</f>
        <v>1.8461538461538463</v>
      </c>
      <c r="J24" s="1">
        <f>(K17*J18)/K18</f>
        <v>1.2307692307692308</v>
      </c>
      <c r="K24" s="1"/>
    </row>
    <row r="25" spans="5:13" x14ac:dyDescent="0.3">
      <c r="F25" s="1"/>
      <c r="G25" s="1"/>
      <c r="H25" s="1"/>
      <c r="I25" s="1"/>
      <c r="J25" s="1"/>
      <c r="K25" s="1"/>
    </row>
    <row r="27" spans="5:13" x14ac:dyDescent="0.3">
      <c r="F27" t="s">
        <v>58</v>
      </c>
    </row>
    <row r="28" spans="5:13" x14ac:dyDescent="0.3">
      <c r="E28" t="s">
        <v>59</v>
      </c>
      <c r="F28">
        <f>CHITEST(G16:J17,G23:J24)</f>
        <v>0.6295486369494645</v>
      </c>
    </row>
    <row r="33" spans="6:11" x14ac:dyDescent="0.3">
      <c r="F33" s="1"/>
      <c r="G33" s="14" t="s">
        <v>9</v>
      </c>
      <c r="H33" s="14" t="s">
        <v>6</v>
      </c>
      <c r="I33" s="14" t="s">
        <v>8</v>
      </c>
      <c r="J33" s="14" t="s">
        <v>10</v>
      </c>
      <c r="K33" s="14"/>
    </row>
    <row r="34" spans="6:11" x14ac:dyDescent="0.3">
      <c r="F34" s="1" t="s">
        <v>5</v>
      </c>
      <c r="G34" s="1">
        <f>(G18*K16)/K18</f>
        <v>1.5384615384615385</v>
      </c>
      <c r="H34" s="1">
        <f>(H18*K16)/K18</f>
        <v>1.5384615384615385</v>
      </c>
      <c r="I34" s="1">
        <f>(I18*K16)/K18</f>
        <v>1.1538461538461537</v>
      </c>
      <c r="J34" s="1">
        <f>(J18*K16)/K18</f>
        <v>0.76923076923076927</v>
      </c>
      <c r="K34" s="1"/>
    </row>
    <row r="35" spans="6:11" x14ac:dyDescent="0.3">
      <c r="F35" s="1" t="s">
        <v>7</v>
      </c>
      <c r="G35" s="1">
        <f>(G18*K17)/K18</f>
        <v>2.4615384615384617</v>
      </c>
      <c r="H35" s="1">
        <f>(H18*K17)/K18</f>
        <v>2.4615384615384617</v>
      </c>
      <c r="I35" s="1">
        <f>(I18*K17)/K18</f>
        <v>1.8461538461538463</v>
      </c>
      <c r="J35" s="1">
        <f>(J18*K17)/K18</f>
        <v>1.2307692307692308</v>
      </c>
      <c r="K35" s="1"/>
    </row>
    <row r="36" spans="6:11" x14ac:dyDescent="0.3">
      <c r="F36" s="1"/>
      <c r="G36" s="1"/>
      <c r="H36" s="1"/>
      <c r="I36" s="1"/>
      <c r="J36" s="1"/>
      <c r="K36" s="1"/>
    </row>
    <row r="38" spans="6:11" x14ac:dyDescent="0.3">
      <c r="F38">
        <f>CHITEST(G16:J17,G23:J24)</f>
        <v>0.6295486369494645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result T-test</vt:lpstr>
      <vt:lpstr>T-Test</vt:lpstr>
      <vt:lpstr>result Paired t-test</vt:lpstr>
      <vt:lpstr>Paired T-Test</vt:lpstr>
      <vt:lpstr>result anova</vt:lpstr>
      <vt:lpstr>Anova</vt:lpstr>
      <vt:lpstr>Chi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</dc:creator>
  <cp:lastModifiedBy>kalpit kathar</cp:lastModifiedBy>
  <dcterms:created xsi:type="dcterms:W3CDTF">2023-12-11T08:09:40Z</dcterms:created>
  <dcterms:modified xsi:type="dcterms:W3CDTF">2025-09-25T03:10:41Z</dcterms:modified>
</cp:coreProperties>
</file>